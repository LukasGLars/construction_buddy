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Blad2" sheetId="2" r:id="rId6"/>
  </sheets>
  <definedNames/>
  <calcPr/>
</workbook>
</file>

<file path=xl/sharedStrings.xml><?xml version="1.0" encoding="utf-8"?>
<sst xmlns="http://schemas.openxmlformats.org/spreadsheetml/2006/main" count="61" uniqueCount="57">
  <si>
    <t>Bra att veta ungefär hur mycket man skall lägga på vilken del när man beställer tjänster eller liknande - Estimering</t>
  </si>
  <si>
    <t>Budget</t>
  </si>
  <si>
    <t>Ungefärlig på varje moment - Just nu - Realistiskt</t>
  </si>
  <si>
    <t>Justering efter behov</t>
  </si>
  <si>
    <t>Uppläggning av extension på Play Store</t>
  </si>
  <si>
    <t>$5</t>
  </si>
  <si>
    <t>Videokampanj, YouTube</t>
  </si>
  <si>
    <t>6 000 - 8 000 kr</t>
  </si>
  <si>
    <t>Stockvideos</t>
  </si>
  <si>
    <t>800 - 3 000 kr</t>
  </si>
  <si>
    <t>Röstdubb</t>
  </si>
  <si>
    <t>1 000 - 1 500 kr eller hemmadubb</t>
  </si>
  <si>
    <t>Fiverr, videoklipp</t>
  </si>
  <si>
    <t>1 500 - 4 000 kr</t>
  </si>
  <si>
    <t>Klippning</t>
  </si>
  <si>
    <t>2 000 - 4 000 kr</t>
  </si>
  <si>
    <t>Färggradering av klipp</t>
  </si>
  <si>
    <t>1 500 - 3 000 kr</t>
  </si>
  <si>
    <t>Beskrivning</t>
  </si>
  <si>
    <t>Antal</t>
  </si>
  <si>
    <t>Enhet</t>
  </si>
  <si>
    <t>A pris</t>
  </si>
  <si>
    <t>Belopp</t>
  </si>
  <si>
    <t>inkl moms 25%</t>
  </si>
  <si>
    <t>ROT-avdrag</t>
  </si>
  <si>
    <t>ROT-avdrag SEK</t>
  </si>
  <si>
    <t>Faktura total</t>
  </si>
  <si>
    <t>vvs-montör</t>
  </si>
  <si>
    <t>h</t>
  </si>
  <si>
    <t>kilometerersättning</t>
  </si>
  <si>
    <t>km</t>
  </si>
  <si>
    <t>32 PRK KOPPL 401</t>
  </si>
  <si>
    <t>st</t>
  </si>
  <si>
    <t>servicebil</t>
  </si>
  <si>
    <t>total inkl moms</t>
  </si>
  <si>
    <t>total inkl rotavdrag</t>
  </si>
  <si>
    <t>öresutjämning</t>
  </si>
  <si>
    <t>faktura total</t>
  </si>
  <si>
    <t>SER-10012</t>
  </si>
  <si>
    <t>Servicebil</t>
  </si>
  <si>
    <t>SER-10011</t>
  </si>
  <si>
    <t>Kilometerersattning</t>
  </si>
  <si>
    <t>kilometer</t>
  </si>
  <si>
    <t>MAT-10028</t>
  </si>
  <si>
    <t>ARB-10009</t>
  </si>
  <si>
    <t>Arbetstimmar vvs</t>
  </si>
  <si>
    <t>2.5</t>
  </si>
  <si>
    <t>timmar</t>
  </si>
  <si>
    <t>📊 Faktura</t>
  </si>
  <si>
    <t>Total exkl moms</t>
  </si>
  <si>
    <t>1949.50 kr</t>
  </si>
  <si>
    <t>Total inkl moms</t>
  </si>
  <si>
    <t>2436.88 kr</t>
  </si>
  <si>
    <t>ROT-avdrag (30%)</t>
  </si>
  <si>
    <t>533.44 kr</t>
  </si>
  <si>
    <t>Att betala</t>
  </si>
  <si>
    <t>1903.44 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</si>
</sst>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kr-41D]"/>
    <numFmt numFmtId="165" formatCode="#,##0\ [$kr-41D]"/>
  </numFmts>
  <fonts count="7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2" xfId="0" applyAlignment="1" applyFont="1" applyNumberFormat="1">
      <alignment readingOrder="0"/>
    </xf>
    <xf borderId="0" fillId="0" fontId="5" numFmtId="0" xfId="0" applyFont="1"/>
    <xf borderId="0" fillId="0" fontId="4" numFmtId="2" xfId="0" applyAlignment="1" applyFont="1" applyNumberFormat="1">
      <alignment readingOrder="0"/>
    </xf>
    <xf borderId="0" fillId="0" fontId="4" numFmtId="164" xfId="0" applyFont="1" applyNumberFormat="1"/>
    <xf borderId="0" fillId="0" fontId="4" numFmtId="9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2" xfId="0" applyFont="1" applyNumberFormat="1"/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88"/>
  </cols>
  <sheetData>
    <row r="1">
      <c r="A1" s="1"/>
      <c r="B1" s="2"/>
      <c r="C1" s="3" t="s">
        <v>0</v>
      </c>
      <c r="D1" s="2"/>
    </row>
    <row r="2">
      <c r="A2" s="1"/>
      <c r="B2" s="2"/>
      <c r="C2" s="1"/>
      <c r="D2" s="2"/>
    </row>
    <row r="3">
      <c r="A3" s="1" t="s">
        <v>1</v>
      </c>
      <c r="B3" s="2"/>
      <c r="C3" s="1" t="s">
        <v>2</v>
      </c>
      <c r="D3" s="2"/>
    </row>
    <row r="4">
      <c r="C4" s="1" t="s">
        <v>3</v>
      </c>
    </row>
    <row r="5">
      <c r="A5" s="4" t="s">
        <v>4</v>
      </c>
    </row>
    <row r="6">
      <c r="A6" s="4" t="s">
        <v>5</v>
      </c>
    </row>
    <row r="8">
      <c r="A8" s="4" t="s">
        <v>6</v>
      </c>
    </row>
    <row r="9">
      <c r="A9" s="4" t="s">
        <v>7</v>
      </c>
    </row>
    <row r="11">
      <c r="A11" s="4" t="s">
        <v>8</v>
      </c>
    </row>
    <row r="12">
      <c r="A12" s="4" t="s">
        <v>9</v>
      </c>
    </row>
    <row r="14">
      <c r="A14" s="4" t="s">
        <v>10</v>
      </c>
    </row>
    <row r="15">
      <c r="A15" s="4" t="s">
        <v>11</v>
      </c>
    </row>
    <row r="17">
      <c r="A17" s="4" t="s">
        <v>12</v>
      </c>
    </row>
    <row r="18">
      <c r="A18" s="4" t="s">
        <v>13</v>
      </c>
    </row>
    <row r="20">
      <c r="A20" s="4" t="s">
        <v>14</v>
      </c>
    </row>
    <row r="21">
      <c r="A21" s="4" t="s">
        <v>15</v>
      </c>
    </row>
    <row r="23">
      <c r="A23" s="4" t="s">
        <v>16</v>
      </c>
    </row>
    <row r="24">
      <c r="A24" s="4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5.13"/>
    <col customWidth="1" min="3" max="3" width="5.63"/>
    <col customWidth="1" min="4" max="4" width="6.13"/>
    <col customWidth="1" min="5" max="5" width="7.0"/>
    <col customWidth="1" min="6" max="6" width="13.0"/>
    <col customWidth="1" min="7" max="7" width="10.5"/>
    <col customWidth="1" min="8" max="8" width="14.38"/>
    <col customWidth="1" min="9" max="9" width="11.0"/>
  </cols>
  <sheetData>
    <row r="1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6" t="s">
        <v>23</v>
      </c>
      <c r="G1" s="5" t="s">
        <v>24</v>
      </c>
      <c r="H1" s="5" t="s">
        <v>25</v>
      </c>
      <c r="I1" s="5" t="s">
        <v>26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4" t="s">
        <v>27</v>
      </c>
      <c r="B2" s="8">
        <v>2.5</v>
      </c>
      <c r="C2" s="8" t="s">
        <v>28</v>
      </c>
      <c r="D2" s="8">
        <v>569.0</v>
      </c>
      <c r="E2" s="8">
        <f t="shared" ref="E2:E5" si="1">B2*D2</f>
        <v>1422.5</v>
      </c>
      <c r="F2" s="9">
        <f t="shared" ref="F2:F5" si="2">(E2*1.25)</f>
        <v>1778.125</v>
      </c>
      <c r="G2" s="10">
        <v>0.3</v>
      </c>
      <c r="H2" s="11">
        <f>F2*G2</f>
        <v>533.4375</v>
      </c>
    </row>
    <row r="3">
      <c r="A3" s="4" t="s">
        <v>29</v>
      </c>
      <c r="B3" s="4">
        <v>1.0</v>
      </c>
      <c r="C3" s="4" t="s">
        <v>30</v>
      </c>
      <c r="D3" s="4">
        <v>6.0</v>
      </c>
      <c r="E3" s="4">
        <f t="shared" si="1"/>
        <v>6</v>
      </c>
      <c r="F3" s="9">
        <f t="shared" si="2"/>
        <v>7.5</v>
      </c>
    </row>
    <row r="4">
      <c r="A4" s="4" t="s">
        <v>31</v>
      </c>
      <c r="B4" s="4">
        <v>1.0</v>
      </c>
      <c r="C4" s="4" t="s">
        <v>32</v>
      </c>
      <c r="D4" s="4">
        <v>352.0</v>
      </c>
      <c r="E4" s="4">
        <f t="shared" si="1"/>
        <v>352</v>
      </c>
      <c r="F4" s="9">
        <f t="shared" si="2"/>
        <v>440</v>
      </c>
    </row>
    <row r="5">
      <c r="A5" s="4" t="s">
        <v>33</v>
      </c>
      <c r="B5" s="4">
        <v>1.0</v>
      </c>
      <c r="C5" s="4" t="s">
        <v>32</v>
      </c>
      <c r="D5" s="4">
        <v>175.0</v>
      </c>
      <c r="E5" s="4">
        <f t="shared" si="1"/>
        <v>175</v>
      </c>
      <c r="F5" s="9">
        <f t="shared" si="2"/>
        <v>218.75</v>
      </c>
    </row>
    <row r="6">
      <c r="A6" s="4" t="s">
        <v>34</v>
      </c>
      <c r="F6" s="12">
        <f>SUM(F2:F5)</f>
        <v>2444.375</v>
      </c>
    </row>
    <row r="7">
      <c r="A7" s="4" t="s">
        <v>35</v>
      </c>
      <c r="B7" s="13"/>
      <c r="C7" s="13"/>
      <c r="D7" s="13"/>
      <c r="E7" s="13"/>
      <c r="F7" s="9">
        <f>F6-H2</f>
        <v>1910.9375</v>
      </c>
    </row>
    <row r="8">
      <c r="A8" s="4" t="s">
        <v>36</v>
      </c>
      <c r="I8" s="9">
        <f>I9-F7</f>
        <v>0.0625</v>
      </c>
    </row>
    <row r="9">
      <c r="A9" s="4" t="s">
        <v>37</v>
      </c>
      <c r="I9" s="14">
        <f>ROUND(F7,0)</f>
        <v>1911</v>
      </c>
    </row>
    <row r="14">
      <c r="A14" s="4" t="s">
        <v>38</v>
      </c>
      <c r="B14" s="4" t="s">
        <v>39</v>
      </c>
      <c r="C14" s="4">
        <v>1.0</v>
      </c>
      <c r="D14" s="4" t="s">
        <v>32</v>
      </c>
      <c r="E14" s="4">
        <v>175.0</v>
      </c>
      <c r="F14" s="4">
        <v>175.0</v>
      </c>
    </row>
    <row r="15">
      <c r="A15" s="4" t="s">
        <v>40</v>
      </c>
      <c r="B15" s="4" t="s">
        <v>41</v>
      </c>
      <c r="C15" s="4">
        <v>1.0</v>
      </c>
      <c r="D15" s="4" t="s">
        <v>42</v>
      </c>
      <c r="E15" s="4">
        <v>6.0</v>
      </c>
      <c r="F15" s="4">
        <v>6.0</v>
      </c>
    </row>
    <row r="16">
      <c r="A16" s="4" t="s">
        <v>43</v>
      </c>
      <c r="B16" s="4" t="s">
        <v>31</v>
      </c>
      <c r="C16" s="4">
        <v>1.0</v>
      </c>
      <c r="D16" s="4" t="s">
        <v>32</v>
      </c>
      <c r="E16" s="4">
        <v>352.0</v>
      </c>
      <c r="F16" s="4">
        <v>352.0</v>
      </c>
    </row>
    <row r="17">
      <c r="A17" s="4" t="s">
        <v>44</v>
      </c>
      <c r="B17" s="4" t="s">
        <v>45</v>
      </c>
      <c r="C17" s="4" t="s">
        <v>46</v>
      </c>
      <c r="D17" s="4" t="s">
        <v>47</v>
      </c>
      <c r="E17" s="4">
        <v>569.0</v>
      </c>
      <c r="F17" s="4">
        <v>1422.5</v>
      </c>
    </row>
    <row r="21">
      <c r="A21" s="4" t="s">
        <v>48</v>
      </c>
    </row>
    <row r="22">
      <c r="A22" s="4" t="s">
        <v>49</v>
      </c>
    </row>
    <row r="24">
      <c r="A24" s="4" t="s">
        <v>50</v>
      </c>
    </row>
    <row r="26">
      <c r="A26" s="4" t="s">
        <v>51</v>
      </c>
    </row>
    <row r="28">
      <c r="A28" s="4" t="s">
        <v>52</v>
      </c>
    </row>
    <row r="30">
      <c r="A30" s="4" t="s">
        <v>53</v>
      </c>
    </row>
    <row r="32">
      <c r="A32" s="4" t="s">
        <v>54</v>
      </c>
    </row>
    <row r="34">
      <c r="A34" s="4" t="s">
        <v>55</v>
      </c>
    </row>
    <row r="36">
      <c r="A36" s="4" t="s">
        <v>56</v>
      </c>
    </row>
  </sheetData>
  <drawing r:id="rId1"/>
</worksheet>
</file>